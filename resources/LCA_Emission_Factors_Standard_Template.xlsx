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7031_tecnico_ulisboa_pt/Documents/SYNTECS/Code/Spreadsheet_templates/"/>
    </mc:Choice>
  </mc:AlternateContent>
  <xr:revisionPtr revIDLastSave="176" documentId="8_{555CDB0A-0BA1-4587-B67B-5B0F4762E238}" xr6:coauthVersionLast="47" xr6:coauthVersionMax="47" xr10:uidLastSave="{486F5F36-F0FA-47FB-B5DC-162BCA6B55AF}"/>
  <bookViews>
    <workbookView xWindow="-120" yWindow="-120" windowWidth="29040" windowHeight="15720" xr2:uid="{00000000-000D-0000-FFFF-FFFF00000000}"/>
  </bookViews>
  <sheets>
    <sheet name="emission factors_conventional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2" i="3"/>
  <c r="G22" i="3"/>
  <c r="F22" i="3"/>
  <c r="E22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I18" i="3"/>
  <c r="H18" i="3"/>
  <c r="G18" i="3"/>
  <c r="F18" i="3"/>
  <c r="E18" i="3"/>
  <c r="I17" i="3"/>
  <c r="H17" i="3"/>
  <c r="G17" i="3"/>
  <c r="F17" i="3"/>
  <c r="E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D5" i="3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</calcChain>
</file>

<file path=xl/sharedStrings.xml><?xml version="1.0" encoding="utf-8"?>
<sst xmlns="http://schemas.openxmlformats.org/spreadsheetml/2006/main" count="92" uniqueCount="82">
  <si>
    <t>or kg</t>
  </si>
  <si>
    <t>Emission factors (characterization) -  STANDARD TEMPLATE (3 case studies: automotive. Medical, thermal management)</t>
  </si>
  <si>
    <t>Impact category</t>
  </si>
  <si>
    <t>Unit</t>
  </si>
  <si>
    <t>Total</t>
  </si>
  <si>
    <t>TOTAL</t>
  </si>
  <si>
    <t>Production (machining)</t>
  </si>
  <si>
    <t>Surface treatment</t>
  </si>
  <si>
    <t>Use &amp; maintenance</t>
  </si>
  <si>
    <t>End-of-life</t>
  </si>
  <si>
    <t>ALL LIFE CYCLE STAGES</t>
  </si>
  <si>
    <t>Production</t>
  </si>
  <si>
    <t>Surface Treatment</t>
  </si>
  <si>
    <t>(Use &amp; Maintenance</t>
  </si>
  <si>
    <t>Steel hot rolling (kg)</t>
  </si>
  <si>
    <t>Stainless steel, Cr 14% (kg)</t>
  </si>
  <si>
    <t>Cutting fluid (kg)</t>
  </si>
  <si>
    <t>Electricity (kWh)</t>
  </si>
  <si>
    <t>Removed steel (kg, for recycling)</t>
  </si>
  <si>
    <t>Ti ingot, Ti6Al4V (kg)</t>
  </si>
  <si>
    <t>TOTAL (Production)</t>
  </si>
  <si>
    <t>Polishing consumable (kg)</t>
  </si>
  <si>
    <t>Wax/resin protection (kg)</t>
  </si>
  <si>
    <t>FeCl3 (kg)</t>
  </si>
  <si>
    <t>HNO3 (kg)</t>
  </si>
  <si>
    <t>(distilled) Water (m3)</t>
  </si>
  <si>
    <t>Hazardous waste (kg, for treatment)</t>
  </si>
  <si>
    <t>DLC (kg)</t>
  </si>
  <si>
    <t>Argon for PVD controlled atmosp. (kg)</t>
  </si>
  <si>
    <t>Argon for laser controlled atmosp. (kg)</t>
  </si>
  <si>
    <t>Electricity, PVD (kWh)</t>
  </si>
  <si>
    <t>Electricity, laser (kWh)</t>
  </si>
  <si>
    <t>Electricity (HA coating, kWh)</t>
  </si>
  <si>
    <t>Electricity (POROCOAT, kWh)</t>
  </si>
  <si>
    <t>Ti sponge/powder (kg)</t>
  </si>
  <si>
    <t>Hydrogen (kg)</t>
  </si>
  <si>
    <t>Aluminium oxide (kg)</t>
  </si>
  <si>
    <t>Resin/adhesive toluene based (kg)</t>
  </si>
  <si>
    <t>HA (kg)</t>
  </si>
  <si>
    <t>Envelope Cu (kg)</t>
  </si>
  <si>
    <t>Wick Cu (kg)</t>
  </si>
  <si>
    <t>Wastewater (m3)</t>
  </si>
  <si>
    <t>TOTAL (Surface Treatment)</t>
  </si>
  <si>
    <t> Additives (kg)</t>
  </si>
  <si>
    <t>Glass fibre reinforced plastic, pellets (kg)</t>
  </si>
  <si>
    <t>Water (m3)</t>
  </si>
  <si>
    <t>Electricity (kWh, GPU cooling)</t>
  </si>
  <si>
    <t>Plastic waste (kg, for treatment)</t>
  </si>
  <si>
    <t>TOTAL (Use &amp; Maintenance)</t>
  </si>
  <si>
    <t>Steel waste (kg, for recycling)</t>
  </si>
  <si>
    <t>Electronic scrap, treatment of recovery in a copper smelter (kg)</t>
  </si>
  <si>
    <t>Global warming</t>
  </si>
  <si>
    <t>kg CO2 eq</t>
  </si>
  <si>
    <t>Stratospheric ozone depletion</t>
  </si>
  <si>
    <t>kg CFC11 eq</t>
  </si>
  <si>
    <t>Ionizing radiation</t>
  </si>
  <si>
    <t>kBq Co-60 eq</t>
  </si>
  <si>
    <t>Ozone formation, Human health</t>
  </si>
  <si>
    <t>kg NOx eq</t>
  </si>
  <si>
    <t>Fine particulate matter formation</t>
  </si>
  <si>
    <t>kg PM2.5 eq</t>
  </si>
  <si>
    <t>Ozone formation, Terrestrial ecosystems</t>
  </si>
  <si>
    <t>Terrestrial acidification</t>
  </si>
  <si>
    <t>kg SO2 eq</t>
  </si>
  <si>
    <t>Freshwater eutrophication</t>
  </si>
  <si>
    <t>kg P eq</t>
  </si>
  <si>
    <t>Marine eutrophication</t>
  </si>
  <si>
    <t>kg N eq</t>
  </si>
  <si>
    <t>Terrestrial ecotoxicity</t>
  </si>
  <si>
    <t>kg 1,4-DCB</t>
  </si>
  <si>
    <t>Freshwater ecotoxicity</t>
  </si>
  <si>
    <t>Marine ecotoxicity</t>
  </si>
  <si>
    <t>Human carcinogenic toxicity</t>
  </si>
  <si>
    <t>Human non-carcinogenic toxicity</t>
  </si>
  <si>
    <t>Land use</t>
  </si>
  <si>
    <t>m2a crop eq</t>
  </si>
  <si>
    <t>Mineral resource scarcity</t>
  </si>
  <si>
    <t>kg Cu eq</t>
  </si>
  <si>
    <t>Fossil resource scarcity</t>
  </si>
  <si>
    <t>kg oil eq</t>
  </si>
  <si>
    <t>Water consumption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</si>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</sst>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1" fontId="2" fillId="0" borderId="1" xfId="0" applyNumberFormat="1" applyFont="1" applyBorder="1" applyAlignment="1">
      <alignment horizontal="center" vertical="center"/>
    </xf>
    <xf numFmtId="11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1" fillId="9" borderId="1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11" fontId="2" fillId="0" borderId="11" xfId="0" applyNumberFormat="1" applyFont="1" applyBorder="1" applyAlignment="1">
      <alignment horizontal="center" vertical="center"/>
    </xf>
    <xf numFmtId="11" fontId="2" fillId="0" borderId="12" xfId="0" applyNumberFormat="1" applyFont="1" applyBorder="1" applyAlignment="1">
      <alignment horizontal="center" vertical="center"/>
    </xf>
    <xf numFmtId="11" fontId="2" fillId="0" borderId="13" xfId="0" applyNumberFormat="1" applyFont="1" applyBorder="1" applyAlignment="1">
      <alignment horizontal="center" vertical="center"/>
    </xf>
    <xf numFmtId="11" fontId="2" fillId="0" borderId="14" xfId="0" applyNumberFormat="1" applyFont="1" applyBorder="1" applyAlignment="1">
      <alignment horizontal="center" vertical="center"/>
    </xf>
    <xf numFmtId="0" fontId="0" fillId="11" borderId="0" xfId="0" applyFill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4A20-4EF8-45A6-ACB8-2222B5EC6FFE}">
  <dimension ref="A1:BB61"/>
  <sheetViews>
    <sheetView tabSelected="1" zoomScale="66" zoomScaleNormal="40" workbookViewId="0">
      <selection activeCell="A15" sqref="A15:XFD15"/>
    </sheetView>
  </sheetViews>
  <sheetFormatPr defaultRowHeight="15" x14ac:dyDescent="0.25"/>
  <cols>
    <col min="2" max="2" width="20.7109375" customWidth="1"/>
    <col min="3" max="31" width="11.5703125" customWidth="1"/>
    <col min="32" max="32" width="15" customWidth="1"/>
    <col min="33" max="37" width="11.5703125" customWidth="1"/>
    <col min="38" max="38" width="13.140625" customWidth="1"/>
    <col min="39" max="45" width="11.5703125" customWidth="1"/>
    <col min="46" max="46" width="15.5703125" customWidth="1"/>
    <col min="48" max="51" width="11.5703125" style="6" customWidth="1"/>
  </cols>
  <sheetData>
    <row r="1" spans="1:54" x14ac:dyDescent="0.25">
      <c r="U1" s="14" t="s">
        <v>0</v>
      </c>
      <c r="BA1" s="6"/>
      <c r="BB1" s="6"/>
    </row>
    <row r="2" spans="1:54" ht="15.75" thickBot="1" x14ac:dyDescent="0.3"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7"/>
    </row>
    <row r="3" spans="1:54" x14ac:dyDescent="0.25">
      <c r="B3" s="38" t="s">
        <v>2</v>
      </c>
      <c r="C3" s="38" t="s">
        <v>3</v>
      </c>
      <c r="D3" s="38" t="s">
        <v>4</v>
      </c>
      <c r="E3" s="39" t="s">
        <v>5</v>
      </c>
      <c r="F3" s="40"/>
      <c r="G3" s="40"/>
      <c r="H3" s="40"/>
      <c r="I3" s="41"/>
      <c r="J3" s="23" t="s">
        <v>6</v>
      </c>
      <c r="K3" s="24"/>
      <c r="L3" s="24"/>
      <c r="M3" s="24"/>
      <c r="N3" s="24"/>
      <c r="O3" s="24"/>
      <c r="P3" s="25"/>
      <c r="Q3" s="26" t="s">
        <v>7</v>
      </c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8"/>
      <c r="AN3" s="29" t="s">
        <v>8</v>
      </c>
      <c r="AO3" s="30"/>
      <c r="AP3" s="30"/>
      <c r="AQ3" s="30"/>
      <c r="AR3" s="30"/>
      <c r="AS3" s="30"/>
      <c r="AT3" s="31"/>
      <c r="AU3" s="32" t="s">
        <v>9</v>
      </c>
      <c r="AV3" s="33"/>
      <c r="AW3" s="33"/>
      <c r="AX3" s="34"/>
    </row>
    <row r="4" spans="1:54" ht="78" customHeight="1" x14ac:dyDescent="0.25">
      <c r="B4" s="38"/>
      <c r="C4" s="38"/>
      <c r="D4" s="38"/>
      <c r="E4" s="16" t="s">
        <v>10</v>
      </c>
      <c r="F4" s="9" t="s">
        <v>11</v>
      </c>
      <c r="G4" s="10" t="s">
        <v>12</v>
      </c>
      <c r="H4" s="11" t="s">
        <v>13</v>
      </c>
      <c r="I4" s="17" t="s">
        <v>12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9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3" t="s">
        <v>25</v>
      </c>
      <c r="V4" s="7" t="s">
        <v>17</v>
      </c>
      <c r="W4" s="1" t="s">
        <v>26</v>
      </c>
      <c r="X4" s="1" t="s">
        <v>27</v>
      </c>
      <c r="Y4" s="15" t="s">
        <v>28</v>
      </c>
      <c r="Z4" s="15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1" t="s">
        <v>34</v>
      </c>
      <c r="AF4" s="8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0" t="s">
        <v>42</v>
      </c>
      <c r="AN4" s="1" t="s">
        <v>43</v>
      </c>
      <c r="AO4" s="1" t="s">
        <v>44</v>
      </c>
      <c r="AP4" s="1" t="s">
        <v>45</v>
      </c>
      <c r="AQ4" s="7" t="s">
        <v>17</v>
      </c>
      <c r="AR4" s="7" t="s">
        <v>46</v>
      </c>
      <c r="AS4" s="1" t="s">
        <v>47</v>
      </c>
      <c r="AT4" s="11" t="s">
        <v>48</v>
      </c>
      <c r="AU4" s="1" t="s">
        <v>49</v>
      </c>
      <c r="AV4" s="1" t="s">
        <v>47</v>
      </c>
      <c r="AW4" s="7" t="s">
        <v>50</v>
      </c>
      <c r="AX4" s="12" t="s">
        <v>42</v>
      </c>
    </row>
    <row r="5" spans="1:54" x14ac:dyDescent="0.25">
      <c r="A5" s="22"/>
      <c r="B5" s="2" t="s">
        <v>51</v>
      </c>
      <c r="C5" s="3" t="s">
        <v>52</v>
      </c>
      <c r="D5" s="4">
        <f t="shared" ref="D5:D20" si="0">SUM(J5:AV5)</f>
        <v>0</v>
      </c>
      <c r="E5" s="18">
        <f t="shared" ref="E5:E22" si="1">SUM(J5:AW5)</f>
        <v>0</v>
      </c>
      <c r="F5" s="4">
        <f t="shared" ref="F5:F22" si="2">SUM(J5:O5)</f>
        <v>0</v>
      </c>
      <c r="G5" s="4">
        <f t="shared" ref="G5:G22" si="3">SUM(P5:AN5)</f>
        <v>0</v>
      </c>
      <c r="H5" s="4">
        <f>SUM(AO5:AT5)</f>
        <v>0</v>
      </c>
      <c r="I5" s="19">
        <f>SUM(AU5:AW5)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4" ht="25.5" x14ac:dyDescent="0.25">
      <c r="B6" s="2" t="s">
        <v>53</v>
      </c>
      <c r="C6" s="3" t="s">
        <v>54</v>
      </c>
      <c r="D6" s="4">
        <f t="shared" si="0"/>
        <v>0</v>
      </c>
      <c r="E6" s="18">
        <f t="shared" si="1"/>
        <v>0</v>
      </c>
      <c r="F6" s="4">
        <f t="shared" si="2"/>
        <v>0</v>
      </c>
      <c r="G6" s="4">
        <f t="shared" si="3"/>
        <v>0</v>
      </c>
      <c r="H6" s="4">
        <f t="shared" ref="H6:H22" si="4">SUM(AO6:AT6)</f>
        <v>0</v>
      </c>
      <c r="I6" s="19">
        <f t="shared" ref="I6:I22" si="5">SUM(AU6:AW6)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4" x14ac:dyDescent="0.25">
      <c r="B7" s="2" t="s">
        <v>55</v>
      </c>
      <c r="C7" s="3" t="s">
        <v>56</v>
      </c>
      <c r="D7" s="4">
        <f t="shared" si="0"/>
        <v>0</v>
      </c>
      <c r="E7" s="18">
        <f t="shared" si="1"/>
        <v>0</v>
      </c>
      <c r="F7" s="4">
        <f t="shared" si="2"/>
        <v>0</v>
      </c>
      <c r="G7" s="4">
        <f t="shared" si="3"/>
        <v>0</v>
      </c>
      <c r="H7" s="4">
        <f t="shared" si="4"/>
        <v>0</v>
      </c>
      <c r="I7" s="19">
        <f t="shared" si="5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4" ht="25.5" x14ac:dyDescent="0.25">
      <c r="B8" s="2" t="s">
        <v>57</v>
      </c>
      <c r="C8" s="3" t="s">
        <v>58</v>
      </c>
      <c r="D8" s="4">
        <f t="shared" si="0"/>
        <v>0</v>
      </c>
      <c r="E8" s="18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19">
        <f t="shared" si="5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4" ht="25.5" x14ac:dyDescent="0.25">
      <c r="B9" s="2" t="s">
        <v>59</v>
      </c>
      <c r="C9" s="3" t="s">
        <v>60</v>
      </c>
      <c r="D9" s="4">
        <f t="shared" si="0"/>
        <v>0</v>
      </c>
      <c r="E9" s="18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0</v>
      </c>
      <c r="I9" s="19">
        <f t="shared" si="5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4" ht="25.5" x14ac:dyDescent="0.25">
      <c r="B10" s="2" t="s">
        <v>61</v>
      </c>
      <c r="C10" s="3" t="s">
        <v>58</v>
      </c>
      <c r="D10" s="4">
        <f t="shared" si="0"/>
        <v>0</v>
      </c>
      <c r="E10" s="18">
        <f t="shared" si="1"/>
        <v>0</v>
      </c>
      <c r="F10" s="4">
        <f t="shared" si="2"/>
        <v>0</v>
      </c>
      <c r="G10" s="4">
        <f t="shared" si="3"/>
        <v>0</v>
      </c>
      <c r="H10" s="4">
        <f t="shared" si="4"/>
        <v>0</v>
      </c>
      <c r="I10" s="19">
        <f t="shared" si="5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4" ht="39" customHeight="1" x14ac:dyDescent="0.25">
      <c r="B11" s="2" t="s">
        <v>62</v>
      </c>
      <c r="C11" s="3" t="s">
        <v>63</v>
      </c>
      <c r="D11" s="4">
        <f t="shared" si="0"/>
        <v>0</v>
      </c>
      <c r="E11" s="18">
        <f t="shared" si="1"/>
        <v>0</v>
      </c>
      <c r="F11" s="4">
        <f t="shared" si="2"/>
        <v>0</v>
      </c>
      <c r="G11" s="4">
        <f t="shared" si="3"/>
        <v>0</v>
      </c>
      <c r="H11" s="4">
        <f t="shared" si="4"/>
        <v>0</v>
      </c>
      <c r="I11" s="19">
        <f t="shared" si="5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4" ht="49.5" customHeight="1" x14ac:dyDescent="0.25">
      <c r="B12" s="2" t="s">
        <v>64</v>
      </c>
      <c r="C12" s="3" t="s">
        <v>65</v>
      </c>
      <c r="D12" s="4">
        <f t="shared" si="0"/>
        <v>0</v>
      </c>
      <c r="E12" s="18">
        <f t="shared" si="1"/>
        <v>0</v>
      </c>
      <c r="F12" s="4">
        <f t="shared" si="2"/>
        <v>0</v>
      </c>
      <c r="G12" s="4">
        <f t="shared" si="3"/>
        <v>0</v>
      </c>
      <c r="H12" s="4">
        <f t="shared" si="4"/>
        <v>0</v>
      </c>
      <c r="I12" s="19">
        <f t="shared" si="5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4" ht="36.75" customHeight="1" x14ac:dyDescent="0.25">
      <c r="B13" s="2" t="s">
        <v>66</v>
      </c>
      <c r="C13" s="3" t="s">
        <v>67</v>
      </c>
      <c r="D13" s="4">
        <f t="shared" si="0"/>
        <v>0</v>
      </c>
      <c r="E13" s="18">
        <f t="shared" si="1"/>
        <v>0</v>
      </c>
      <c r="F13" s="4">
        <f t="shared" si="2"/>
        <v>0</v>
      </c>
      <c r="G13" s="4">
        <f t="shared" si="3"/>
        <v>0</v>
      </c>
      <c r="H13" s="4">
        <f t="shared" si="4"/>
        <v>0</v>
      </c>
      <c r="I13" s="19">
        <f t="shared" si="5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4" ht="43.5" customHeight="1" x14ac:dyDescent="0.25">
      <c r="B14" s="2" t="s">
        <v>68</v>
      </c>
      <c r="C14" s="3" t="s">
        <v>69</v>
      </c>
      <c r="D14" s="4">
        <f t="shared" si="0"/>
        <v>0</v>
      </c>
      <c r="E14" s="18">
        <f t="shared" si="1"/>
        <v>0</v>
      </c>
      <c r="F14" s="4">
        <f t="shared" si="2"/>
        <v>0</v>
      </c>
      <c r="G14" s="4">
        <f t="shared" si="3"/>
        <v>0</v>
      </c>
      <c r="H14" s="4">
        <f t="shared" si="4"/>
        <v>0</v>
      </c>
      <c r="I14" s="19">
        <f t="shared" si="5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4" ht="39" customHeight="1" x14ac:dyDescent="0.25">
      <c r="B15" s="2" t="s">
        <v>70</v>
      </c>
      <c r="C15" s="3" t="s">
        <v>69</v>
      </c>
      <c r="D15" s="4">
        <f t="shared" si="0"/>
        <v>0</v>
      </c>
      <c r="E15" s="18">
        <f t="shared" si="1"/>
        <v>0</v>
      </c>
      <c r="F15" s="4">
        <f t="shared" si="2"/>
        <v>0</v>
      </c>
      <c r="G15" s="4">
        <f t="shared" si="3"/>
        <v>0</v>
      </c>
      <c r="H15" s="4">
        <f t="shared" si="4"/>
        <v>0</v>
      </c>
      <c r="I15" s="19">
        <f t="shared" si="5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4" ht="41.25" customHeight="1" x14ac:dyDescent="0.25">
      <c r="B16" s="2" t="s">
        <v>71</v>
      </c>
      <c r="C16" s="3" t="s">
        <v>69</v>
      </c>
      <c r="D16" s="4">
        <f t="shared" si="0"/>
        <v>0</v>
      </c>
      <c r="E16" s="18">
        <f t="shared" si="1"/>
        <v>0</v>
      </c>
      <c r="F16" s="4">
        <f t="shared" si="2"/>
        <v>0</v>
      </c>
      <c r="G16" s="4">
        <f t="shared" si="3"/>
        <v>0</v>
      </c>
      <c r="H16" s="4">
        <f t="shared" si="4"/>
        <v>0</v>
      </c>
      <c r="I16" s="19">
        <f t="shared" si="5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25.5" x14ac:dyDescent="0.25">
      <c r="A17" s="22"/>
      <c r="B17" s="2" t="s">
        <v>72</v>
      </c>
      <c r="C17" s="3" t="s">
        <v>69</v>
      </c>
      <c r="D17" s="4">
        <f t="shared" si="0"/>
        <v>0</v>
      </c>
      <c r="E17" s="18">
        <f t="shared" si="1"/>
        <v>0</v>
      </c>
      <c r="F17" s="4">
        <f t="shared" si="2"/>
        <v>0</v>
      </c>
      <c r="G17" s="4">
        <f t="shared" si="3"/>
        <v>0</v>
      </c>
      <c r="H17" s="4">
        <f t="shared" si="4"/>
        <v>0</v>
      </c>
      <c r="I17" s="19">
        <f t="shared" si="5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25.5" x14ac:dyDescent="0.25">
      <c r="A18" s="22"/>
      <c r="B18" s="2" t="s">
        <v>73</v>
      </c>
      <c r="C18" s="3" t="s">
        <v>69</v>
      </c>
      <c r="D18" s="4">
        <f t="shared" si="0"/>
        <v>0</v>
      </c>
      <c r="E18" s="18">
        <f t="shared" si="1"/>
        <v>0</v>
      </c>
      <c r="F18" s="4">
        <f t="shared" si="2"/>
        <v>0</v>
      </c>
      <c r="G18" s="4">
        <f t="shared" si="3"/>
        <v>0</v>
      </c>
      <c r="H18" s="4">
        <f t="shared" si="4"/>
        <v>0</v>
      </c>
      <c r="I18" s="19">
        <f t="shared" si="5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B19" s="2" t="s">
        <v>74</v>
      </c>
      <c r="C19" s="3" t="s">
        <v>75</v>
      </c>
      <c r="D19" s="4">
        <f t="shared" si="0"/>
        <v>0</v>
      </c>
      <c r="E19" s="18">
        <f t="shared" si="1"/>
        <v>0</v>
      </c>
      <c r="F19" s="4">
        <f t="shared" si="2"/>
        <v>0</v>
      </c>
      <c r="G19" s="4">
        <f t="shared" si="3"/>
        <v>0</v>
      </c>
      <c r="H19" s="4">
        <f t="shared" si="4"/>
        <v>0</v>
      </c>
      <c r="I19" s="19">
        <f t="shared" si="5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40.5" customHeight="1" x14ac:dyDescent="0.25">
      <c r="A20" s="22"/>
      <c r="B20" s="2" t="s">
        <v>76</v>
      </c>
      <c r="C20" s="3" t="s">
        <v>77</v>
      </c>
      <c r="D20" s="4">
        <f t="shared" si="0"/>
        <v>0</v>
      </c>
      <c r="E20" s="18">
        <f t="shared" si="1"/>
        <v>0</v>
      </c>
      <c r="F20" s="4">
        <f t="shared" si="2"/>
        <v>0</v>
      </c>
      <c r="G20" s="4">
        <f t="shared" si="3"/>
        <v>0</v>
      </c>
      <c r="H20" s="4">
        <f t="shared" si="4"/>
        <v>0</v>
      </c>
      <c r="I20" s="19">
        <f t="shared" si="5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74.25" customHeight="1" x14ac:dyDescent="0.25">
      <c r="B21" s="2" t="s">
        <v>78</v>
      </c>
      <c r="C21" s="3" t="s">
        <v>79</v>
      </c>
      <c r="D21" s="4">
        <f t="shared" ref="D21:D22" si="6">SUM(J21:AV21)</f>
        <v>0</v>
      </c>
      <c r="E21" s="18">
        <f t="shared" si="1"/>
        <v>0</v>
      </c>
      <c r="F21" s="4">
        <f t="shared" si="2"/>
        <v>0</v>
      </c>
      <c r="G21" s="4">
        <f t="shared" si="3"/>
        <v>0</v>
      </c>
      <c r="H21" s="4">
        <f t="shared" si="4"/>
        <v>0</v>
      </c>
      <c r="I21" s="19">
        <f t="shared" si="5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44.25" customHeight="1" thickBot="1" x14ac:dyDescent="0.3">
      <c r="B22" s="2" t="s">
        <v>80</v>
      </c>
      <c r="C22" s="3" t="s">
        <v>81</v>
      </c>
      <c r="D22" s="4">
        <f t="shared" si="6"/>
        <v>0</v>
      </c>
      <c r="E22" s="18">
        <f t="shared" si="1"/>
        <v>0</v>
      </c>
      <c r="F22" s="4">
        <f t="shared" si="2"/>
        <v>0</v>
      </c>
      <c r="G22" s="4">
        <f t="shared" si="3"/>
        <v>0</v>
      </c>
      <c r="H22" s="20">
        <f t="shared" si="4"/>
        <v>0</v>
      </c>
      <c r="I22" s="21">
        <f t="shared" si="5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4" spans="1:50" x14ac:dyDescent="0.25">
      <c r="J24" s="5"/>
    </row>
    <row r="38" spans="1:51" x14ac:dyDescent="0.25">
      <c r="A38" s="6"/>
      <c r="B38" s="6"/>
      <c r="C38" s="6"/>
      <c r="D38" s="6"/>
      <c r="E38" s="6"/>
      <c r="F38" s="6"/>
      <c r="G38" s="6"/>
      <c r="H38" s="6"/>
      <c r="I38" s="6"/>
      <c r="AV38"/>
      <c r="AW38"/>
      <c r="AX38"/>
      <c r="AY38"/>
    </row>
    <row r="39" spans="1:51" x14ac:dyDescent="0.25">
      <c r="A39" s="6"/>
      <c r="B39" s="6"/>
      <c r="C39" s="6"/>
      <c r="D39" s="6"/>
      <c r="E39" s="6"/>
      <c r="F39" s="6"/>
      <c r="G39" s="6"/>
      <c r="H39" s="6"/>
      <c r="I39" s="6"/>
      <c r="AV39"/>
      <c r="AW39"/>
      <c r="AX39"/>
      <c r="AY39"/>
    </row>
    <row r="40" spans="1:51" x14ac:dyDescent="0.25">
      <c r="A40" s="6"/>
      <c r="B40" s="6"/>
      <c r="C40" s="6"/>
      <c r="D40" s="6"/>
      <c r="E40" s="6"/>
      <c r="F40" s="6"/>
      <c r="G40" s="6"/>
      <c r="H40" s="6"/>
      <c r="I40" s="6"/>
      <c r="AV40"/>
      <c r="AW40"/>
      <c r="AX40"/>
      <c r="AY40"/>
    </row>
    <row r="41" spans="1:51" x14ac:dyDescent="0.25">
      <c r="A41" s="6"/>
      <c r="B41" s="6"/>
      <c r="C41" s="6"/>
      <c r="D41" s="6"/>
      <c r="E41" s="6"/>
      <c r="F41" s="6"/>
      <c r="G41" s="6"/>
      <c r="H41" s="6"/>
      <c r="I41" s="6"/>
      <c r="AV41"/>
      <c r="AW41"/>
      <c r="AX41"/>
      <c r="AY41"/>
    </row>
    <row r="42" spans="1:51" x14ac:dyDescent="0.25">
      <c r="A42" s="6"/>
      <c r="B42" s="6"/>
      <c r="C42" s="6"/>
      <c r="D42" s="6"/>
      <c r="E42" s="6"/>
      <c r="F42" s="6"/>
      <c r="G42" s="6"/>
      <c r="H42" s="6"/>
      <c r="I42" s="6"/>
      <c r="AV42"/>
      <c r="AW42"/>
      <c r="AX42"/>
      <c r="AY42"/>
    </row>
    <row r="43" spans="1:51" x14ac:dyDescent="0.25">
      <c r="A43" s="6"/>
      <c r="B43" s="6"/>
      <c r="C43" s="6"/>
      <c r="D43" s="6"/>
      <c r="E43" s="6"/>
      <c r="F43" s="6"/>
      <c r="G43" s="6"/>
      <c r="H43" s="6"/>
      <c r="I43" s="6"/>
      <c r="AV43"/>
      <c r="AW43"/>
      <c r="AX43"/>
      <c r="AY43"/>
    </row>
    <row r="44" spans="1:51" x14ac:dyDescent="0.25">
      <c r="A44" s="6"/>
      <c r="B44" s="6"/>
      <c r="C44" s="6"/>
      <c r="D44" s="6"/>
      <c r="E44" s="6"/>
      <c r="F44" s="6"/>
      <c r="G44" s="6"/>
      <c r="H44" s="6"/>
      <c r="I44" s="6"/>
      <c r="AV44"/>
      <c r="AW44"/>
      <c r="AX44"/>
      <c r="AY44"/>
    </row>
    <row r="45" spans="1:51" x14ac:dyDescent="0.25">
      <c r="A45" s="6"/>
      <c r="B45" s="6"/>
      <c r="C45" s="6"/>
      <c r="D45" s="6"/>
      <c r="E45" s="6"/>
      <c r="F45" s="6"/>
      <c r="G45" s="6"/>
      <c r="H45" s="6"/>
      <c r="I45" s="6"/>
      <c r="AV45"/>
      <c r="AW45"/>
      <c r="AX45"/>
      <c r="AY45"/>
    </row>
    <row r="46" spans="1:51" x14ac:dyDescent="0.25">
      <c r="A46" s="6"/>
      <c r="B46" s="6"/>
      <c r="C46" s="6"/>
      <c r="D46" s="6"/>
      <c r="E46" s="6"/>
      <c r="F46" s="6"/>
      <c r="G46" s="6"/>
      <c r="H46" s="6"/>
      <c r="I46" s="6"/>
      <c r="AV46"/>
      <c r="AW46"/>
      <c r="AX46"/>
      <c r="AY46"/>
    </row>
    <row r="47" spans="1:51" x14ac:dyDescent="0.25">
      <c r="A47" s="6"/>
      <c r="B47" s="6"/>
      <c r="C47" s="6"/>
      <c r="D47" s="6"/>
      <c r="E47" s="6"/>
      <c r="F47" s="6"/>
      <c r="G47" s="6"/>
      <c r="H47" s="6"/>
      <c r="I47" s="6"/>
      <c r="AV47"/>
      <c r="AW47"/>
      <c r="AX47"/>
      <c r="AY47"/>
    </row>
    <row r="48" spans="1:51" x14ac:dyDescent="0.25">
      <c r="A48" s="6"/>
      <c r="B48" s="6"/>
      <c r="C48" s="6"/>
      <c r="D48" s="6"/>
      <c r="E48" s="6"/>
      <c r="F48" s="6"/>
      <c r="G48" s="6"/>
      <c r="H48" s="6"/>
      <c r="I48" s="6"/>
      <c r="AV48"/>
      <c r="AW48"/>
      <c r="AX48"/>
      <c r="AY48"/>
    </row>
    <row r="49" spans="1:51" x14ac:dyDescent="0.25">
      <c r="A49" s="6"/>
      <c r="B49" s="6"/>
      <c r="C49" s="6"/>
      <c r="D49" s="6"/>
      <c r="E49" s="6"/>
      <c r="F49" s="6"/>
      <c r="G49" s="6"/>
      <c r="H49" s="6"/>
      <c r="I49" s="6"/>
      <c r="AV49"/>
      <c r="AW49"/>
      <c r="AX49"/>
      <c r="AY49"/>
    </row>
    <row r="50" spans="1:51" x14ac:dyDescent="0.25">
      <c r="A50" s="6"/>
      <c r="B50" s="6"/>
      <c r="C50" s="6"/>
      <c r="D50" s="6"/>
      <c r="E50" s="6"/>
      <c r="F50" s="6"/>
      <c r="G50" s="6"/>
      <c r="H50" s="6"/>
      <c r="I50" s="6"/>
      <c r="AV50"/>
      <c r="AW50"/>
      <c r="AX50"/>
      <c r="AY50"/>
    </row>
    <row r="51" spans="1:51" x14ac:dyDescent="0.25">
      <c r="A51" s="6"/>
      <c r="B51" s="6"/>
      <c r="C51" s="6"/>
      <c r="D51" s="6"/>
      <c r="E51" s="6"/>
      <c r="F51" s="6"/>
      <c r="G51" s="6"/>
      <c r="H51" s="6"/>
      <c r="I51" s="6"/>
      <c r="AV51"/>
      <c r="AW51"/>
      <c r="AX51"/>
      <c r="AY51"/>
    </row>
    <row r="52" spans="1:51" x14ac:dyDescent="0.25">
      <c r="A52" s="6"/>
      <c r="B52" s="6"/>
      <c r="C52" s="6"/>
      <c r="D52" s="6"/>
      <c r="E52" s="6"/>
      <c r="F52" s="6"/>
      <c r="G52" s="6"/>
      <c r="H52" s="6"/>
      <c r="I52" s="6"/>
      <c r="AV52"/>
      <c r="AW52"/>
      <c r="AX52"/>
      <c r="AY52"/>
    </row>
    <row r="53" spans="1:51" x14ac:dyDescent="0.25">
      <c r="A53" s="6"/>
      <c r="B53" s="6"/>
      <c r="C53" s="6"/>
      <c r="D53" s="6"/>
      <c r="E53" s="6"/>
      <c r="F53" s="6"/>
      <c r="G53" s="6"/>
      <c r="H53" s="6"/>
      <c r="I53" s="6"/>
      <c r="AV53"/>
      <c r="AW53"/>
      <c r="AX53"/>
      <c r="AY53"/>
    </row>
    <row r="54" spans="1:51" x14ac:dyDescent="0.25">
      <c r="A54" s="6"/>
      <c r="B54" s="6"/>
      <c r="C54" s="6"/>
      <c r="D54" s="6"/>
      <c r="E54" s="6"/>
      <c r="F54" s="6"/>
      <c r="G54" s="6"/>
      <c r="H54" s="6"/>
      <c r="I54" s="6"/>
      <c r="AV54"/>
      <c r="AW54"/>
      <c r="AX54"/>
      <c r="AY54"/>
    </row>
    <row r="55" spans="1:51" x14ac:dyDescent="0.25">
      <c r="A55" s="6"/>
      <c r="B55" s="6"/>
      <c r="C55" s="6"/>
      <c r="D55" s="6"/>
      <c r="E55" s="6"/>
      <c r="F55" s="6"/>
      <c r="G55" s="6"/>
      <c r="H55" s="6"/>
      <c r="I55" s="6"/>
      <c r="AV55"/>
      <c r="AW55"/>
      <c r="AX55"/>
      <c r="AY55"/>
    </row>
    <row r="56" spans="1:51" x14ac:dyDescent="0.25">
      <c r="A56" s="6"/>
      <c r="B56" s="6"/>
      <c r="C56" s="6"/>
      <c r="D56" s="6"/>
      <c r="E56" s="6"/>
      <c r="F56" s="6"/>
      <c r="G56" s="6"/>
      <c r="H56" s="6"/>
      <c r="I56" s="6"/>
      <c r="AV56"/>
      <c r="AW56"/>
      <c r="AX56"/>
      <c r="AY56"/>
    </row>
    <row r="57" spans="1:51" x14ac:dyDescent="0.25">
      <c r="A57" s="6"/>
      <c r="B57" s="6"/>
      <c r="C57" s="6"/>
      <c r="D57" s="6"/>
      <c r="E57" s="6"/>
      <c r="F57" s="6"/>
      <c r="G57" s="6"/>
      <c r="H57" s="6"/>
      <c r="I57" s="6"/>
      <c r="AV57"/>
      <c r="AW57"/>
      <c r="AX57"/>
      <c r="AY57"/>
    </row>
    <row r="58" spans="1:51" x14ac:dyDescent="0.25">
      <c r="A58" s="6"/>
      <c r="B58" s="6"/>
      <c r="C58" s="6"/>
      <c r="D58" s="6"/>
      <c r="E58" s="6"/>
      <c r="F58" s="6"/>
      <c r="G58" s="6"/>
      <c r="H58" s="6"/>
      <c r="I58" s="6"/>
      <c r="AV58"/>
      <c r="AW58"/>
      <c r="AX58"/>
      <c r="AY58"/>
    </row>
    <row r="59" spans="1:51" x14ac:dyDescent="0.25">
      <c r="A59" s="6"/>
      <c r="B59" s="6"/>
      <c r="C59" s="6"/>
      <c r="D59" s="6"/>
      <c r="E59" s="6"/>
      <c r="F59" s="6"/>
      <c r="G59" s="6"/>
      <c r="H59" s="6"/>
      <c r="I59" s="6"/>
      <c r="AV59"/>
      <c r="AW59"/>
      <c r="AX59"/>
      <c r="AY59"/>
    </row>
    <row r="60" spans="1:51" x14ac:dyDescent="0.25">
      <c r="A60" s="6"/>
      <c r="B60" s="6"/>
      <c r="C60" s="6"/>
      <c r="D60" s="6"/>
      <c r="E60" s="6"/>
      <c r="F60" s="6"/>
      <c r="G60" s="6"/>
      <c r="H60" s="6"/>
      <c r="I60" s="6"/>
      <c r="AV60"/>
      <c r="AW60"/>
      <c r="AX60"/>
      <c r="AY60"/>
    </row>
    <row r="61" spans="1:51" x14ac:dyDescent="0.25">
      <c r="A61" s="6"/>
      <c r="B61" s="6"/>
      <c r="C61" s="6"/>
      <c r="D61" s="6"/>
      <c r="E61" s="6"/>
      <c r="F61" s="6"/>
      <c r="G61" s="6"/>
      <c r="H61" s="6"/>
      <c r="I61" s="6"/>
      <c r="AV61"/>
      <c r="AW61"/>
      <c r="AX61"/>
      <c r="AY61"/>
    </row>
  </sheetData>
  <mergeCells count="9">
    <mergeCell ref="J3:P3"/>
    <mergeCell ref="Q3:AM3"/>
    <mergeCell ref="AN3:AT3"/>
    <mergeCell ref="AU3:AX3"/>
    <mergeCell ref="B2:AX2"/>
    <mergeCell ref="B3:B4"/>
    <mergeCell ref="C3:C4"/>
    <mergeCell ref="D3:D4"/>
    <mergeCell ref="E3:I3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ecb985-20fa-44af-a068-ee706ed5b31e" xsi:nil="true"/>
    <lcf76f155ced4ddcb4097134ff3c332f xmlns="9c1aaf4b-3438-445f-a35e-54986cf411e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797521112CC74D82B5FDAF19E82AC8" ma:contentTypeVersion="14" ma:contentTypeDescription="Ein neues Dokument erstellen." ma:contentTypeScope="" ma:versionID="b645d63ad698ddc870f6e4013bd80402">
  <xsd:schema xmlns:xsd="http://www.w3.org/2001/XMLSchema" xmlns:xs="http://www.w3.org/2001/XMLSchema" xmlns:p="http://schemas.microsoft.com/office/2006/metadata/properties" xmlns:ns2="9c1aaf4b-3438-445f-a35e-54986cf411ed" xmlns:ns3="f2ecb985-20fa-44af-a068-ee706ed5b31e" targetNamespace="http://schemas.microsoft.com/office/2006/metadata/properties" ma:root="true" ma:fieldsID="bf42e94c74c5a70c5c74a46749b71fac" ns2:_="" ns3:_="">
    <xsd:import namespace="9c1aaf4b-3438-445f-a35e-54986cf411ed"/>
    <xsd:import namespace="f2ecb985-20fa-44af-a068-ee706ed5b3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aaf4b-3438-445f-a35e-54986cf41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cb985-20fa-44af-a068-ee706ed5b3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31a6193-0373-4773-b0bb-95beab38d070}" ma:internalName="TaxCatchAll" ma:showField="CatchAllData" ma:web="f2ecb985-20fa-44af-a068-ee706ed5b3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5C054-1A2A-4DF5-86AB-C44B6FDF78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59E0A7-E3A2-4623-BA64-F9B24EFC8DC7}">
  <ds:schemaRefs>
    <ds:schemaRef ds:uri="http://schemas.microsoft.com/office/2006/metadata/properties"/>
    <ds:schemaRef ds:uri="http://schemas.microsoft.com/office/infopath/2007/PartnerControls"/>
    <ds:schemaRef ds:uri="f2ecb985-20fa-44af-a068-ee706ed5b31e"/>
    <ds:schemaRef ds:uri="9c1aaf4b-3438-445f-a35e-54986cf411ed"/>
  </ds:schemaRefs>
</ds:datastoreItem>
</file>

<file path=customXml/itemProps3.xml><?xml version="1.0" encoding="utf-8"?>
<ds:datastoreItem xmlns:ds="http://schemas.openxmlformats.org/officeDocument/2006/customXml" ds:itemID="{2A033FAC-8A55-45B0-8586-89A0A1B7C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1aaf4b-3438-445f-a35e-54986cf411ed"/>
    <ds:schemaRef ds:uri="f2ecb985-20fa-44af-a068-ee706ed5b3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emission factors_conventional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Braga - 3Drivers</dc:creator>
  <cp:keywords/>
  <dc:description/>
  <cp:lastModifiedBy>Jéssica Gouveia Pereira Corujeira</cp:lastModifiedBy>
  <cp:revision/>
  <dcterms:created xsi:type="dcterms:W3CDTF">2015-06-05T18:17:20Z</dcterms:created>
  <dcterms:modified xsi:type="dcterms:W3CDTF">2026-01-06T16:30:47Z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0x0101008F797521112CC74D82B5FDAF19E82AC8</vt:lpwstr>
  </property>
  <property fmtid="{D5CDD505-2E9C-101B-9397-08002B2CF9AE}" pid="3" name="MediaServiceImageTags">
    <vt:lpwstr/>
  </property>
</Properties>
</file>